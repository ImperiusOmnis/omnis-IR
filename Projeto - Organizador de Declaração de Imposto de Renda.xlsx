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delson\Documents\Dio.me\Formação Análise de Dados com Excel e IA\Projeto - Organizador de Declaração de Imposto de Renda\"/>
    </mc:Choice>
  </mc:AlternateContent>
  <xr:revisionPtr revIDLastSave="0" documentId="13_ncr:1_{06761330-D451-451D-8FD5-D78BA6788BBD}" xr6:coauthVersionLast="47" xr6:coauthVersionMax="47" xr10:uidLastSave="{00000000-0000-0000-0000-000000000000}"/>
  <bookViews>
    <workbookView xWindow="-108" yWindow="-108" windowWidth="23256" windowHeight="12456" tabRatio="0" xr2:uid="{F220DCF3-B0E7-4FF7-AB63-5117CDD33288}"/>
  </bookViews>
  <sheets>
    <sheet name="TITULAR" sheetId="1" r:id="rId1"/>
    <sheet name="INFORMES" sheetId="5" r:id="rId2"/>
    <sheet name="NOTAS" sheetId="6" r:id="rId3"/>
    <sheet name="GRAPHIC_SUPPORT" sheetId="8" state="hidden" r:id="rId4"/>
    <sheet name="TABELAS" sheetId="7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8" l="1"/>
  <c r="B4" i="8"/>
  <c r="B3" i="8"/>
  <c r="B2" i="8"/>
  <c r="A4" i="8"/>
  <c r="A3" i="8"/>
  <c r="A2" i="8"/>
  <c r="C7" i="5"/>
</calcChain>
</file>

<file path=xl/sharedStrings.xml><?xml version="1.0" encoding="utf-8"?>
<sst xmlns="http://schemas.openxmlformats.org/spreadsheetml/2006/main" count="106" uniqueCount="94">
  <si>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</si>
  <si>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</si>
  <si>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</si>
  <si>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</si>
  <si>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</si>
  <si>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</si>
  <si>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</si>
  <si>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</si>
  <si>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</si>
  <si>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</si>
  <si>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</si>
  <si>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</si>
  <si>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</si>
  <si>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</si>
  <si>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Mia Goth</t>
  </si>
  <si>
    <t>Rua Dos limoeiros. R, - Nº 180</t>
  </si>
  <si>
    <t>SIM</t>
  </si>
  <si>
    <t>NÃO</t>
  </si>
  <si>
    <t>SALAZAR SKYWALKER NOBUNAGA</t>
  </si>
  <si>
    <t>Rua Dos limoeiros. Rua, - Nº 180</t>
  </si>
  <si>
    <t>salazar@omnis.com</t>
  </si>
  <si>
    <t>2. INFORMES DE RENDIMENTOS BANCÁRIOS</t>
  </si>
  <si>
    <t>Preencha com seus dados atuais de cada banco</t>
  </si>
  <si>
    <t>Preencha os dados da pessoa física abaixo</t>
  </si>
  <si>
    <t>BANCO</t>
  </si>
  <si>
    <t>VALOR ATUAL</t>
  </si>
  <si>
    <t>ANEXO 🔗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</si>
  <si>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</si>
  <si>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</si>
  <si>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</si>
  <si>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</si>
  <si>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</si>
  <si>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</si>
  <si>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</si>
  <si>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</si>
  <si>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</si>
  <si>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</si>
  <si>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</si>
  <si>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</si>
  <si>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</si>
  <si>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</si>
  <si>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</si>
  <si>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</si>
  <si>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</si>
  <si>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</si>
  <si>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</si>
  <si>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</si>
  <si>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</si>
  <si>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</si>
  <si>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</si>
  <si>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</si>
  <si>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</si>
  <si>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</si>
  <si>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</si>
  <si>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</si>
  <si>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</si>
  <si>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</si>
  <si>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</si>
  <si>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</si>
  <si>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</si>
  <si>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</si>
  <si>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</si>
  <si>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</si>
  <si>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</si>
  <si>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</si>
  <si>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</si>
  <si>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</si>
  <si>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</si>
  <si>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</si>
  <si>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</si>
  <si>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</si>
  <si>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</si>
  <si>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</si>
  <si>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</si>
  <si>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</si>
  <si>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</si>
  <si>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</si>
  <si>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</si>
  <si>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omnis.pdf</t>
  </si>
  <si>
    <t>1° Banco</t>
  </si>
  <si>
    <t>2° Banco</t>
  </si>
  <si>
    <t>3° Banco</t>
  </si>
  <si>
    <t>TOTAL</t>
  </si>
  <si>
    <t>3. NOTAS BANCÁRIAS OU EXTRATO DE HOLERITES</t>
  </si>
  <si>
    <t>São todos os valores de entrada mês a mês da receita</t>
  </si>
  <si>
    <t>DATA</t>
  </si>
  <si>
    <t>CATEGORIA</t>
  </si>
  <si>
    <t>VALOR</t>
  </si>
  <si>
    <t>ENTRADAS</t>
  </si>
  <si>
    <t>HOLERITE</t>
  </si>
  <si>
    <t>Banco</t>
  </si>
  <si>
    <t>Valor Atual</t>
  </si>
  <si>
    <t>Total</t>
  </si>
  <si>
    <t>1. DADOS DO TITULAR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</si>
</sst>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</numFmts>
  <fonts count="15" x14ac:knownFonts="1">
    <font>
      <sz val="11"/>
      <color theme="1"/>
      <name val="Arial"/>
      <family val="2"/>
    </font>
    <font>
      <b/>
      <sz val="15"/>
      <color theme="3"/>
      <name val="Arial"/>
      <family val="2"/>
    </font>
    <font>
      <sz val="11"/>
      <color rgb="FF9C5700"/>
      <name val="Arial"/>
      <family val="2"/>
    </font>
    <font>
      <b/>
      <sz val="11"/>
      <color theme="1"/>
      <name val="Arial"/>
      <family val="2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u/>
      <sz val="11"/>
      <color theme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9C5700"/>
      <name val="Arial"/>
      <family val="2"/>
    </font>
    <font>
      <b/>
      <sz val="11"/>
      <color theme="0"/>
      <name val="Segoe UI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  <font>
      <b/>
      <sz val="8"/>
      <color theme="2" tint="-0.499984740745262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27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1" fillId="0" borderId="3" xfId="1" applyBorder="1"/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0" fontId="7" fillId="2" borderId="2" xfId="3" applyFill="1" applyBorder="1" applyAlignment="1" applyProtection="1">
      <alignment horizontal="left"/>
      <protection locked="0"/>
    </xf>
    <xf numFmtId="168" fontId="2" fillId="2" borderId="2" xfId="2" applyNumberFormat="1" applyBorder="1" applyAlignment="1" applyProtection="1">
      <alignment horizontal="left"/>
      <protection locked="0"/>
    </xf>
    <xf numFmtId="0" fontId="8" fillId="0" borderId="0" xfId="4"/>
    <xf numFmtId="0" fontId="9" fillId="3" borderId="0" xfId="4" applyFont="1" applyFill="1"/>
    <xf numFmtId="0" fontId="3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4" fontId="13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13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/>
    <xf numFmtId="0" fontId="6" fillId="4" borderId="4" xfId="0" applyFont="1" applyFill="1" applyBorder="1" applyAlignment="1">
      <alignment horizontal="left" vertical="center" indent="3"/>
    </xf>
    <xf numFmtId="168" fontId="10" fillId="2" borderId="0" xfId="2" applyNumberFormat="1" applyFont="1" applyAlignment="1">
      <alignment horizontal="center"/>
    </xf>
    <xf numFmtId="0" fontId="10" fillId="2" borderId="0" xfId="2" applyFont="1" applyAlignment="1">
      <alignment horizontal="center"/>
    </xf>
    <xf numFmtId="0" fontId="11" fillId="5" borderId="0" xfId="0" applyFont="1" applyFill="1" applyAlignment="1">
      <alignment horizontal="center"/>
    </xf>
  </cellXfs>
  <cellStyles count="5">
    <cellStyle name="Hiperlink" xfId="3" builtinId="8"/>
    <cellStyle name="Neutro" xfId="2" builtinId="28"/>
    <cellStyle name="Normal" xfId="0" builtinId="0"/>
    <cellStyle name="Normal 2" xfId="4" xr:uid="{655B4309-03EE-4750-BB10-EB995C57CDE0}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3CC"/>
      <color rgb="FF9933F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Rendimentos Bancários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GRAPHIC_SUPPORT!$B$1</c:f>
              <c:strCache>
                <c:ptCount val="1"/>
                <c:pt idx="0">
                  <c:v>Valor Atual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67-4C41-A934-BCC09CFF9780}"/>
              </c:ext>
            </c:extLst>
          </c:dPt>
          <c:dPt>
            <c:idx val="1"/>
            <c:bubble3D val="0"/>
            <c:spPr>
              <a:solidFill>
                <a:srgbClr val="FF33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67-4C41-A934-BCC09CFF9780}"/>
              </c:ext>
            </c:extLst>
          </c:dPt>
          <c:dPt>
            <c:idx val="2"/>
            <c:bubble3D val="0"/>
            <c:spPr>
              <a:solidFill>
                <a:srgbClr val="9933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67-4C41-A934-BCC09CFF9780}"/>
              </c:ext>
            </c:extLst>
          </c:dPt>
          <c:cat>
            <c:strRef>
              <c:f>GRAPHIC_SUPPORT!$A$2:$A$5</c:f>
              <c:strCache>
                <c:ptCount val="4"/>
                <c:pt idx="0">
                  <c:v>341 - Itaú Unibanco</c:v>
                </c:pt>
                <c:pt idx="1">
                  <c:v>237 - Banco Bradesco</c:v>
                </c:pt>
                <c:pt idx="2">
                  <c:v>33 - Banco Santander</c:v>
                </c:pt>
                <c:pt idx="3">
                  <c:v>Total</c:v>
                </c:pt>
              </c:strCache>
            </c:strRef>
          </c:cat>
          <c:val>
            <c:numRef>
              <c:f>GRAPHIC_SUPPORT!$B$2:$B$4</c:f>
              <c:numCache>
                <c:formatCode>"R$"\ #,##0.00</c:formatCode>
                <c:ptCount val="3"/>
                <c:pt idx="0">
                  <c:v>500000</c:v>
                </c:pt>
                <c:pt idx="1">
                  <c:v>1875000</c:v>
                </c:pt>
                <c:pt idx="2">
                  <c:v>1584482.25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67-4C41-A934-BCC09CFF9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delson-nobre-cx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hyperlink" Target="#INFORMES!C1"/><Relationship Id="rId7" Type="http://schemas.microsoft.com/office/2007/relationships/hdphoto" Target="../media/hdphoto2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adelson-nobre-cx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3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linkedin.com/in/adelson-nobre-cx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693420</xdr:colOff>
      <xdr:row>2</xdr:row>
      <xdr:rowOff>144780</xdr:rowOff>
    </xdr:from>
    <xdr:to>
      <xdr:col>0</xdr:col>
      <xdr:colOff>1539240</xdr:colOff>
      <xdr:row>6</xdr:row>
      <xdr:rowOff>78441</xdr:rowOff>
    </xdr:to>
    <xdr:pic>
      <xdr:nvPicPr>
        <xdr:cNvPr id="6" name="Imagem 5" descr="Lion - Free animals icons">
          <a:extLst>
            <a:ext uri="{FF2B5EF4-FFF2-40B4-BE49-F238E27FC236}">
              <a16:creationId xmlns:a16="http://schemas.microsoft.com/office/drawing/2014/main" id="{0EC844CF-4E27-9D90-A3E0-F63C2C448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" y="495300"/>
          <a:ext cx="845820" cy="845820"/>
        </a:xfrm>
        <a:prstGeom prst="rect">
          <a:avLst/>
        </a:prstGeom>
        <a:noFill/>
        <a:ln>
          <a:noFill/>
        </a:ln>
        <a:effectLst>
          <a:glow rad="63500">
            <a:schemeClr val="accent5">
              <a:satMod val="175000"/>
              <a:alpha val="30000"/>
            </a:schemeClr>
          </a:glow>
          <a:reflection blurRad="6350" stA="52000" endA="300" endPos="35000" dir="5400000" sy="-100000" algn="bl" rotWithShape="0"/>
        </a:effectLst>
      </xdr:spPr>
    </xdr:pic>
    <xdr:clientData/>
  </xdr:twoCellAnchor>
  <xdr:twoCellAnchor editAs="absolute">
    <xdr:from>
      <xdr:col>0</xdr:col>
      <xdr:colOff>22860</xdr:colOff>
      <xdr:row>0</xdr:row>
      <xdr:rowOff>114300</xdr:rowOff>
    </xdr:from>
    <xdr:to>
      <xdr:col>1</xdr:col>
      <xdr:colOff>0</xdr:colOff>
      <xdr:row>2</xdr:row>
      <xdr:rowOff>114300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7D99C73-DA57-B70E-5DE4-0EB2EAF2AF32}"/>
            </a:ext>
          </a:extLst>
        </xdr:cNvPr>
        <xdr:cNvSpPr/>
      </xdr:nvSpPr>
      <xdr:spPr>
        <a:xfrm>
          <a:off x="22860" y="114300"/>
          <a:ext cx="2191422" cy="3585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noFill/>
              </a:ln>
              <a:gradFill flip="none" rotWithShape="1">
                <a:gsLst>
                  <a:gs pos="100000">
                    <a:srgbClr val="9933FF">
                      <a:alpha val="69000"/>
                      <a:lumMod val="50000"/>
                    </a:srgbClr>
                  </a:gs>
                  <a:gs pos="58000">
                    <a:srgbClr val="DF4BDC">
                      <a:lumMod val="100000"/>
                    </a:srgbClr>
                  </a:gs>
                  <a:gs pos="0">
                    <a:schemeClr val="bg1">
                      <a:lumMod val="84000"/>
                      <a:lumOff val="16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OMNIS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100000">
                    <a:srgbClr val="9933FF">
                      <a:alpha val="69000"/>
                      <a:lumMod val="50000"/>
                    </a:srgbClr>
                  </a:gs>
                  <a:gs pos="58000">
                    <a:srgbClr val="DF4BDC">
                      <a:lumMod val="100000"/>
                    </a:srgbClr>
                  </a:gs>
                  <a:gs pos="0">
                    <a:schemeClr val="bg1">
                      <a:lumMod val="84000"/>
                      <a:lumOff val="16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IR 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100000">
                    <a:srgbClr val="9933FF">
                      <a:lumMod val="74000"/>
                      <a:alpha val="86000"/>
                    </a:srgbClr>
                  </a:gs>
                  <a:gs pos="58000">
                    <a:srgbClr val="DF4BDC">
                      <a:lumMod val="100000"/>
                    </a:srgbClr>
                  </a:gs>
                  <a:gs pos="0">
                    <a:schemeClr val="bg1">
                      <a:lumMod val="84000"/>
                      <a:lumOff val="16000"/>
                    </a:schemeClr>
                  </a:gs>
                </a:gsLst>
                <a:lin ang="0" scaled="1"/>
                <a:tileRect/>
              </a:gradFill>
              <a:effectLst/>
              <a:latin typeface="Arial Black" panose="020B0A04020102020204" pitchFamily="34" charset="0"/>
            </a:rPr>
            <a:t>APP</a:t>
          </a:r>
          <a:endParaRPr lang="pt-BR" sz="2000" b="1">
            <a:ln>
              <a:noFill/>
            </a:ln>
            <a:gradFill flip="none" rotWithShape="1">
              <a:gsLst>
                <a:gs pos="100000">
                  <a:srgbClr val="9933FF">
                    <a:lumMod val="74000"/>
                    <a:alpha val="86000"/>
                  </a:srgbClr>
                </a:gs>
                <a:gs pos="58000">
                  <a:srgbClr val="DF4BDC">
                    <a:lumMod val="100000"/>
                  </a:srgbClr>
                </a:gs>
                <a:gs pos="0">
                  <a:schemeClr val="bg1">
                    <a:lumMod val="84000"/>
                    <a:lumOff val="16000"/>
                  </a:schemeClr>
                </a:gs>
              </a:gsLst>
              <a:lin ang="0" scaled="1"/>
              <a:tileRect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66339</xdr:colOff>
      <xdr:row>8</xdr:row>
      <xdr:rowOff>86957</xdr:rowOff>
    </xdr:from>
    <xdr:to>
      <xdr:col>0</xdr:col>
      <xdr:colOff>2161839</xdr:colOff>
      <xdr:row>10</xdr:row>
      <xdr:rowOff>22860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FB4551-9C8C-B8DF-7C86-A48523B9032E}"/>
            </a:ext>
          </a:extLst>
        </xdr:cNvPr>
        <xdr:cNvSpPr/>
      </xdr:nvSpPr>
      <xdr:spPr>
        <a:xfrm>
          <a:off x="66339" y="1808181"/>
          <a:ext cx="2095500" cy="366208"/>
        </a:xfrm>
        <a:prstGeom prst="roundRect">
          <a:avLst>
            <a:gd name="adj" fmla="val 50000"/>
          </a:avLst>
        </a:prstGeom>
        <a:gradFill>
          <a:gsLst>
            <a:gs pos="100000">
              <a:srgbClr val="9933FF">
                <a:lumMod val="100000"/>
                <a:alpha val="52000"/>
              </a:srgbClr>
            </a:gs>
            <a:gs pos="38000">
              <a:srgbClr val="DF4BDC">
                <a:lumMod val="100000"/>
              </a:srgbClr>
            </a:gs>
          </a:gsLst>
          <a:lin ang="0" scaled="1"/>
        </a:gra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66339</xdr:colOff>
      <xdr:row>10</xdr:row>
      <xdr:rowOff>142091</xdr:rowOff>
    </xdr:from>
    <xdr:to>
      <xdr:col>0</xdr:col>
      <xdr:colOff>2161839</xdr:colOff>
      <xdr:row>12</xdr:row>
      <xdr:rowOff>77993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1B66F2-EAFB-4B3E-B53C-B0C45BF36349}"/>
            </a:ext>
          </a:extLst>
        </xdr:cNvPr>
        <xdr:cNvSpPr/>
      </xdr:nvSpPr>
      <xdr:spPr>
        <a:xfrm>
          <a:off x="66339" y="2293620"/>
          <a:ext cx="2095500" cy="366208"/>
        </a:xfrm>
        <a:prstGeom prst="roundRect">
          <a:avLst>
            <a:gd name="adj" fmla="val 50000"/>
          </a:avLst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  <a:p>
          <a:pPr marL="0" indent="0" algn="ctr"/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66339</xdr:colOff>
      <xdr:row>12</xdr:row>
      <xdr:rowOff>197224</xdr:rowOff>
    </xdr:from>
    <xdr:to>
      <xdr:col>0</xdr:col>
      <xdr:colOff>2161839</xdr:colOff>
      <xdr:row>14</xdr:row>
      <xdr:rowOff>133126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587E7B-53D4-42AA-98B6-26D7F2DC2809}"/>
            </a:ext>
          </a:extLst>
        </xdr:cNvPr>
        <xdr:cNvSpPr/>
      </xdr:nvSpPr>
      <xdr:spPr>
        <a:xfrm>
          <a:off x="66339" y="2779059"/>
          <a:ext cx="2095500" cy="366208"/>
        </a:xfrm>
        <a:prstGeom prst="roundRect">
          <a:avLst>
            <a:gd name="adj" fmla="val 50000"/>
          </a:avLst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  <a:p>
          <a:pPr marL="0" indent="0" algn="ctr"/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  <a:p>
          <a:pPr marL="0" indent="0" algn="ctr"/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228600</xdr:colOff>
      <xdr:row>16</xdr:row>
      <xdr:rowOff>197224</xdr:rowOff>
    </xdr:from>
    <xdr:to>
      <xdr:col>0</xdr:col>
      <xdr:colOff>1949824</xdr:colOff>
      <xdr:row>18</xdr:row>
      <xdr:rowOff>8964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B82D60BB-56A3-DDB7-B48C-5864BCD67F8C}"/>
            </a:ext>
          </a:extLst>
        </xdr:cNvPr>
        <xdr:cNvSpPr/>
      </xdr:nvSpPr>
      <xdr:spPr>
        <a:xfrm>
          <a:off x="228600" y="3639671"/>
          <a:ext cx="1721224" cy="242046"/>
        </a:xfrm>
        <a:prstGeom prst="rect">
          <a:avLst/>
        </a:prstGeom>
        <a:noFill/>
        <a:ln>
          <a:noFill/>
        </a:ln>
        <a:effectLst>
          <a:glow rad="63500">
            <a:schemeClr val="accent5">
              <a:satMod val="175000"/>
              <a:alpha val="55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gradFill flip="none" rotWithShape="1">
                <a:gsLst>
                  <a:gs pos="0">
                    <a:srgbClr val="FF33CC">
                      <a:lumMod val="0"/>
                      <a:lumOff val="100000"/>
                    </a:srgbClr>
                  </a:gs>
                  <a:gs pos="100000">
                    <a:srgbClr val="9933FF"/>
                  </a:gs>
                  <a:gs pos="59000">
                    <a:srgbClr val="00B0F0"/>
                  </a:gs>
                </a:gsLst>
                <a:lin ang="0" scaled="1"/>
                <a:tileRect/>
              </a:gradFill>
              <a:effectLst>
                <a:glow rad="139700">
                  <a:schemeClr val="accent5">
                    <a:satMod val="175000"/>
                    <a:alpha val="40000"/>
                  </a:schemeClr>
                </a:glo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SISTEM BY ADELSON </a:t>
          </a:r>
        </a:p>
      </xdr:txBody>
    </xdr:sp>
    <xdr:clientData/>
  </xdr:twoCellAnchor>
  <xdr:twoCellAnchor editAs="absolute">
    <xdr:from>
      <xdr:col>0</xdr:col>
      <xdr:colOff>170330</xdr:colOff>
      <xdr:row>16</xdr:row>
      <xdr:rowOff>44823</xdr:rowOff>
    </xdr:from>
    <xdr:to>
      <xdr:col>0</xdr:col>
      <xdr:colOff>2008094</xdr:colOff>
      <xdr:row>16</xdr:row>
      <xdr:rowOff>44823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B7239CBC-EE8F-A0E7-6B20-1A09C3DBED5D}"/>
            </a:ext>
          </a:extLst>
        </xdr:cNvPr>
        <xdr:cNvCxnSpPr/>
      </xdr:nvCxnSpPr>
      <xdr:spPr>
        <a:xfrm>
          <a:off x="170330" y="3487270"/>
          <a:ext cx="1837764" cy="0"/>
        </a:xfrm>
        <a:prstGeom prst="line">
          <a:avLst/>
        </a:prstGeom>
        <a:effectLst>
          <a:glow rad="63500">
            <a:srgbClr val="00B0F0"/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927212</xdr:colOff>
      <xdr:row>18</xdr:row>
      <xdr:rowOff>161377</xdr:rowOff>
    </xdr:from>
    <xdr:to>
      <xdr:col>0</xdr:col>
      <xdr:colOff>1251408</xdr:colOff>
      <xdr:row>20</xdr:row>
      <xdr:rowOff>103595</xdr:rowOff>
    </xdr:to>
    <xdr:pic>
      <xdr:nvPicPr>
        <xdr:cNvPr id="15" name="icon_link" descr="Linkedin - ícones de social gráti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07842DD-938A-AE79-CF9E-CD5B18354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41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7212" y="4034130"/>
          <a:ext cx="324196" cy="336665"/>
        </a:xfrm>
        <a:prstGeom prst="rect">
          <a:avLst/>
        </a:prstGeom>
        <a:noFill/>
        <a:effectLst>
          <a:glow rad="101600">
            <a:schemeClr val="accent1">
              <a:satMod val="175000"/>
              <a:alpha val="40000"/>
            </a:schemeClr>
          </a:glow>
        </a:effectLst>
      </xdr:spPr>
    </xdr:pic>
    <xdr:clientData/>
  </xdr:twoCellAnchor>
  <xdr:twoCellAnchor editAs="absolute">
    <xdr:from>
      <xdr:col>2</xdr:col>
      <xdr:colOff>3200401</xdr:colOff>
      <xdr:row>20</xdr:row>
      <xdr:rowOff>0</xdr:rowOff>
    </xdr:from>
    <xdr:to>
      <xdr:col>4</xdr:col>
      <xdr:colOff>17929</xdr:colOff>
      <xdr:row>22</xdr:row>
      <xdr:rowOff>7172</xdr:rowOff>
    </xdr:to>
    <xdr:sp macro="" textlink="">
      <xdr:nvSpPr>
        <xdr:cNvPr id="22" name="Retângulo 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840779-0EC6-42AB-B2A4-0340C0228820}"/>
            </a:ext>
          </a:extLst>
        </xdr:cNvPr>
        <xdr:cNvSpPr/>
      </xdr:nvSpPr>
      <xdr:spPr>
        <a:xfrm>
          <a:off x="6087036" y="4267200"/>
          <a:ext cx="3236258" cy="36576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693420</xdr:colOff>
      <xdr:row>2</xdr:row>
      <xdr:rowOff>144780</xdr:rowOff>
    </xdr:from>
    <xdr:to>
      <xdr:col>0</xdr:col>
      <xdr:colOff>1539240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84D0C948-7E55-40E1-8EC2-79BC0D8C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" y="495300"/>
          <a:ext cx="845820" cy="845820"/>
        </a:xfrm>
        <a:prstGeom prst="rect">
          <a:avLst/>
        </a:prstGeom>
        <a:noFill/>
        <a:ln>
          <a:noFill/>
        </a:ln>
        <a:effectLst>
          <a:glow rad="63500">
            <a:schemeClr val="accent5">
              <a:satMod val="175000"/>
              <a:alpha val="30000"/>
            </a:schemeClr>
          </a:glow>
          <a:reflection blurRad="6350" stA="52000" endA="300" endPos="35000" dir="5400000" sy="-100000" algn="bl" rotWithShape="0"/>
        </a:effectLst>
      </xdr:spPr>
    </xdr:pic>
    <xdr:clientData/>
  </xdr:twoCellAnchor>
  <xdr:twoCellAnchor editAs="absolute">
    <xdr:from>
      <xdr:col>0</xdr:col>
      <xdr:colOff>22860</xdr:colOff>
      <xdr:row>0</xdr:row>
      <xdr:rowOff>114300</xdr:rowOff>
    </xdr:from>
    <xdr:to>
      <xdr:col>1</xdr:col>
      <xdr:colOff>0</xdr:colOff>
      <xdr:row>2</xdr:row>
      <xdr:rowOff>114300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CBBD904-38CE-4272-AD2B-4B57621BC85A}"/>
            </a:ext>
          </a:extLst>
        </xdr:cNvPr>
        <xdr:cNvSpPr/>
      </xdr:nvSpPr>
      <xdr:spPr>
        <a:xfrm>
          <a:off x="22860" y="114300"/>
          <a:ext cx="218694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noFill/>
              </a:ln>
              <a:gradFill flip="none" rotWithShape="1">
                <a:gsLst>
                  <a:gs pos="100000">
                    <a:srgbClr val="9933FF">
                      <a:alpha val="69000"/>
                      <a:lumMod val="50000"/>
                    </a:srgbClr>
                  </a:gs>
                  <a:gs pos="58000">
                    <a:srgbClr val="DF4BDC">
                      <a:lumMod val="100000"/>
                    </a:srgbClr>
                  </a:gs>
                  <a:gs pos="0">
                    <a:schemeClr val="bg1">
                      <a:lumMod val="84000"/>
                      <a:lumOff val="16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OMNIS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100000">
                    <a:srgbClr val="9933FF">
                      <a:alpha val="69000"/>
                      <a:lumMod val="50000"/>
                    </a:srgbClr>
                  </a:gs>
                  <a:gs pos="58000">
                    <a:srgbClr val="DF4BDC">
                      <a:lumMod val="100000"/>
                    </a:srgbClr>
                  </a:gs>
                  <a:gs pos="0">
                    <a:schemeClr val="bg1">
                      <a:lumMod val="84000"/>
                      <a:lumOff val="16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IR 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100000">
                    <a:srgbClr val="9933FF">
                      <a:lumMod val="74000"/>
                      <a:alpha val="86000"/>
                    </a:srgbClr>
                  </a:gs>
                  <a:gs pos="58000">
                    <a:srgbClr val="DF4BDC">
                      <a:lumMod val="100000"/>
                    </a:srgbClr>
                  </a:gs>
                  <a:gs pos="0">
                    <a:schemeClr val="bg1">
                      <a:lumMod val="84000"/>
                      <a:lumOff val="16000"/>
                    </a:schemeClr>
                  </a:gs>
                </a:gsLst>
                <a:lin ang="0" scaled="1"/>
                <a:tileRect/>
              </a:gradFill>
              <a:effectLst/>
              <a:latin typeface="Arial Black" panose="020B0A04020102020204" pitchFamily="34" charset="0"/>
            </a:rPr>
            <a:t>APP</a:t>
          </a:r>
          <a:endParaRPr lang="pt-BR" sz="2000" b="1">
            <a:ln>
              <a:noFill/>
            </a:ln>
            <a:gradFill flip="none" rotWithShape="1">
              <a:gsLst>
                <a:gs pos="100000">
                  <a:srgbClr val="9933FF">
                    <a:lumMod val="74000"/>
                    <a:alpha val="86000"/>
                  </a:srgbClr>
                </a:gs>
                <a:gs pos="58000">
                  <a:srgbClr val="DF4BDC">
                    <a:lumMod val="100000"/>
                  </a:srgbClr>
                </a:gs>
                <a:gs pos="0">
                  <a:schemeClr val="bg1">
                    <a:lumMod val="84000"/>
                    <a:lumOff val="16000"/>
                  </a:schemeClr>
                </a:gs>
              </a:gsLst>
              <a:lin ang="0" scaled="1"/>
              <a:tileRect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66339</xdr:colOff>
      <xdr:row>8</xdr:row>
      <xdr:rowOff>176605</xdr:rowOff>
    </xdr:from>
    <xdr:to>
      <xdr:col>0</xdr:col>
      <xdr:colOff>2161839</xdr:colOff>
      <xdr:row>10</xdr:row>
      <xdr:rowOff>148365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9895F1-C34F-43EC-ACE5-DF9577C912F2}"/>
            </a:ext>
          </a:extLst>
        </xdr:cNvPr>
        <xdr:cNvSpPr/>
      </xdr:nvSpPr>
      <xdr:spPr>
        <a:xfrm>
          <a:off x="66339" y="1767840"/>
          <a:ext cx="2095500" cy="358140"/>
        </a:xfrm>
        <a:prstGeom prst="roundRect">
          <a:avLst>
            <a:gd name="adj" fmla="val 50000"/>
          </a:avLst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66339</xdr:colOff>
      <xdr:row>11</xdr:row>
      <xdr:rowOff>52444</xdr:rowOff>
    </xdr:from>
    <xdr:to>
      <xdr:col>0</xdr:col>
      <xdr:colOff>2161839</xdr:colOff>
      <xdr:row>13</xdr:row>
      <xdr:rowOff>24204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621E64-B99E-42C6-9849-E4387110679B}"/>
            </a:ext>
          </a:extLst>
        </xdr:cNvPr>
        <xdr:cNvSpPr/>
      </xdr:nvSpPr>
      <xdr:spPr>
        <a:xfrm>
          <a:off x="66339" y="2245211"/>
          <a:ext cx="2095500" cy="358139"/>
        </a:xfrm>
        <a:prstGeom prst="roundRect">
          <a:avLst>
            <a:gd name="adj" fmla="val 50000"/>
          </a:avLst>
        </a:prstGeom>
        <a:gradFill>
          <a:gsLst>
            <a:gs pos="100000">
              <a:srgbClr val="9933FF">
                <a:lumMod val="100000"/>
                <a:alpha val="52000"/>
              </a:srgbClr>
            </a:gs>
            <a:gs pos="38000">
              <a:srgbClr val="DF4BDC">
                <a:lumMod val="100000"/>
              </a:srgbClr>
            </a:gs>
          </a:gsLst>
          <a:lin ang="0" scaled="1"/>
        </a:gra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  <a:p>
          <a:pPr marL="0" indent="0" algn="ctr"/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66339</xdr:colOff>
      <xdr:row>13</xdr:row>
      <xdr:rowOff>143435</xdr:rowOff>
    </xdr:from>
    <xdr:to>
      <xdr:col>0</xdr:col>
      <xdr:colOff>2161839</xdr:colOff>
      <xdr:row>15</xdr:row>
      <xdr:rowOff>115196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3485246-6DBC-4FB0-96B7-353BC73BC4BE}"/>
            </a:ext>
          </a:extLst>
        </xdr:cNvPr>
        <xdr:cNvSpPr/>
      </xdr:nvSpPr>
      <xdr:spPr>
        <a:xfrm>
          <a:off x="66339" y="2718547"/>
          <a:ext cx="2095500" cy="358140"/>
        </a:xfrm>
        <a:prstGeom prst="roundRect">
          <a:avLst>
            <a:gd name="adj" fmla="val 50000"/>
          </a:avLst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  <a:p>
          <a:pPr marL="0" indent="0" algn="ctr"/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  <a:p>
          <a:pPr marL="0" indent="0" algn="ctr"/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228600</xdr:colOff>
      <xdr:row>18</xdr:row>
      <xdr:rowOff>0</xdr:rowOff>
    </xdr:from>
    <xdr:to>
      <xdr:col>0</xdr:col>
      <xdr:colOff>1949824</xdr:colOff>
      <xdr:row>19</xdr:row>
      <xdr:rowOff>62752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6A720E9-52FD-42A3-AD4D-253B317F4D65}"/>
            </a:ext>
          </a:extLst>
        </xdr:cNvPr>
        <xdr:cNvSpPr/>
      </xdr:nvSpPr>
      <xdr:spPr>
        <a:xfrm>
          <a:off x="228600" y="3639671"/>
          <a:ext cx="1721224" cy="242046"/>
        </a:xfrm>
        <a:prstGeom prst="rect">
          <a:avLst/>
        </a:prstGeom>
        <a:noFill/>
        <a:ln>
          <a:noFill/>
        </a:ln>
        <a:effectLst>
          <a:glow rad="63500">
            <a:schemeClr val="accent5">
              <a:satMod val="175000"/>
              <a:alpha val="55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gradFill flip="none" rotWithShape="1">
                <a:gsLst>
                  <a:gs pos="0">
                    <a:srgbClr val="FF33CC">
                      <a:lumMod val="0"/>
                      <a:lumOff val="100000"/>
                    </a:srgbClr>
                  </a:gs>
                  <a:gs pos="100000">
                    <a:srgbClr val="9933FF"/>
                  </a:gs>
                  <a:gs pos="59000">
                    <a:srgbClr val="00B0F0"/>
                  </a:gs>
                </a:gsLst>
                <a:lin ang="0" scaled="1"/>
                <a:tileRect/>
              </a:gradFill>
              <a:effectLst>
                <a:glow rad="139700">
                  <a:schemeClr val="accent5">
                    <a:satMod val="175000"/>
                    <a:alpha val="40000"/>
                  </a:schemeClr>
                </a:glo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SISTEM BY ADELSON </a:t>
          </a:r>
        </a:p>
      </xdr:txBody>
    </xdr:sp>
    <xdr:clientData/>
  </xdr:twoCellAnchor>
  <xdr:twoCellAnchor editAs="absolute">
    <xdr:from>
      <xdr:col>0</xdr:col>
      <xdr:colOff>170330</xdr:colOff>
      <xdr:row>17</xdr:row>
      <xdr:rowOff>26894</xdr:rowOff>
    </xdr:from>
    <xdr:to>
      <xdr:col>0</xdr:col>
      <xdr:colOff>2008094</xdr:colOff>
      <xdr:row>17</xdr:row>
      <xdr:rowOff>26894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BAF64E3-D5E3-4406-ABEE-AC544340CC0C}"/>
            </a:ext>
          </a:extLst>
        </xdr:cNvPr>
        <xdr:cNvCxnSpPr/>
      </xdr:nvCxnSpPr>
      <xdr:spPr>
        <a:xfrm>
          <a:off x="170330" y="3410622"/>
          <a:ext cx="1837764" cy="0"/>
        </a:xfrm>
        <a:prstGeom prst="line">
          <a:avLst/>
        </a:prstGeom>
        <a:effectLst>
          <a:glow rad="63500">
            <a:srgbClr val="00B0F0"/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922950</xdr:colOff>
      <xdr:row>20</xdr:row>
      <xdr:rowOff>1</xdr:rowOff>
    </xdr:from>
    <xdr:to>
      <xdr:col>0</xdr:col>
      <xdr:colOff>1255475</xdr:colOff>
      <xdr:row>21</xdr:row>
      <xdr:rowOff>121530</xdr:rowOff>
    </xdr:to>
    <xdr:pic>
      <xdr:nvPicPr>
        <xdr:cNvPr id="9" name="Imagem 8" descr="Linkedin - ícones de social gráti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4770960-EDED-4939-9545-6DCC32B4C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41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2950" y="4034119"/>
          <a:ext cx="332525" cy="336682"/>
        </a:xfrm>
        <a:prstGeom prst="rect">
          <a:avLst/>
        </a:prstGeom>
        <a:noFill/>
        <a:effectLst>
          <a:glow rad="101600">
            <a:schemeClr val="accent1">
              <a:satMod val="175000"/>
              <a:alpha val="40000"/>
            </a:schemeClr>
          </a:glow>
        </a:effectLst>
      </xdr:spPr>
    </xdr:pic>
    <xdr:clientData/>
  </xdr:twoCellAnchor>
  <xdr:twoCellAnchor editAs="absolute">
    <xdr:from>
      <xdr:col>2</xdr:col>
      <xdr:colOff>3182471</xdr:colOff>
      <xdr:row>23</xdr:row>
      <xdr:rowOff>0</xdr:rowOff>
    </xdr:from>
    <xdr:to>
      <xdr:col>4</xdr:col>
      <xdr:colOff>17930</xdr:colOff>
      <xdr:row>25</xdr:row>
      <xdr:rowOff>7172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D8F310-E743-4A6C-B28B-BEC4973C8C46}"/>
            </a:ext>
          </a:extLst>
        </xdr:cNvPr>
        <xdr:cNvSpPr/>
      </xdr:nvSpPr>
      <xdr:spPr>
        <a:xfrm>
          <a:off x="6069106" y="4643718"/>
          <a:ext cx="3254189" cy="36576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3</xdr:col>
      <xdr:colOff>44824</xdr:colOff>
      <xdr:row>25</xdr:row>
      <xdr:rowOff>7172</xdr:rowOff>
    </xdr:to>
    <xdr:sp macro="" textlink="">
      <xdr:nvSpPr>
        <xdr:cNvPr id="14" name="Retângulo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EB08AA-52D3-4648-AFBC-8AD579963235}"/>
            </a:ext>
          </a:extLst>
        </xdr:cNvPr>
        <xdr:cNvSpPr/>
      </xdr:nvSpPr>
      <xdr:spPr>
        <a:xfrm>
          <a:off x="2886635" y="4643718"/>
          <a:ext cx="3254189" cy="36576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  <xdr:twoCellAnchor>
    <xdr:from>
      <xdr:col>4</xdr:col>
      <xdr:colOff>170329</xdr:colOff>
      <xdr:row>5</xdr:row>
      <xdr:rowOff>179292</xdr:rowOff>
    </xdr:from>
    <xdr:to>
      <xdr:col>11</xdr:col>
      <xdr:colOff>98611</xdr:colOff>
      <xdr:row>22</xdr:row>
      <xdr:rowOff>8965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B671BED-DFC4-49AE-9073-5A3313F96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693420</xdr:colOff>
      <xdr:row>2</xdr:row>
      <xdr:rowOff>144780</xdr:rowOff>
    </xdr:from>
    <xdr:to>
      <xdr:col>0</xdr:col>
      <xdr:colOff>1539240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419B904-DE0A-43EB-BE61-EC6E77BD9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" y="495300"/>
          <a:ext cx="845820" cy="845820"/>
        </a:xfrm>
        <a:prstGeom prst="rect">
          <a:avLst/>
        </a:prstGeom>
        <a:noFill/>
        <a:ln>
          <a:noFill/>
        </a:ln>
        <a:effectLst>
          <a:glow rad="63500">
            <a:schemeClr val="accent5">
              <a:satMod val="175000"/>
              <a:alpha val="30000"/>
            </a:schemeClr>
          </a:glow>
          <a:reflection blurRad="6350" stA="52000" endA="300" endPos="35000" dir="5400000" sy="-100000" algn="bl" rotWithShape="0"/>
        </a:effectLst>
      </xdr:spPr>
    </xdr:pic>
    <xdr:clientData/>
  </xdr:twoCellAnchor>
  <xdr:twoCellAnchor editAs="absolute">
    <xdr:from>
      <xdr:col>0</xdr:col>
      <xdr:colOff>22860</xdr:colOff>
      <xdr:row>0</xdr:row>
      <xdr:rowOff>114300</xdr:rowOff>
    </xdr:from>
    <xdr:to>
      <xdr:col>1</xdr:col>
      <xdr:colOff>0</xdr:colOff>
      <xdr:row>2</xdr:row>
      <xdr:rowOff>114300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4F0BBAA-767F-4542-BE8B-4F9906507BBA}"/>
            </a:ext>
          </a:extLst>
        </xdr:cNvPr>
        <xdr:cNvSpPr/>
      </xdr:nvSpPr>
      <xdr:spPr>
        <a:xfrm>
          <a:off x="22860" y="114300"/>
          <a:ext cx="218694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noFill/>
              </a:ln>
              <a:gradFill flip="none" rotWithShape="1">
                <a:gsLst>
                  <a:gs pos="100000">
                    <a:srgbClr val="9933FF">
                      <a:alpha val="69000"/>
                      <a:lumMod val="50000"/>
                    </a:srgbClr>
                  </a:gs>
                  <a:gs pos="58000">
                    <a:srgbClr val="DF4BDC">
                      <a:lumMod val="100000"/>
                    </a:srgbClr>
                  </a:gs>
                  <a:gs pos="0">
                    <a:schemeClr val="bg1">
                      <a:lumMod val="84000"/>
                      <a:lumOff val="16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OMNIS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100000">
                    <a:srgbClr val="9933FF">
                      <a:alpha val="69000"/>
                      <a:lumMod val="50000"/>
                    </a:srgbClr>
                  </a:gs>
                  <a:gs pos="58000">
                    <a:srgbClr val="DF4BDC">
                      <a:lumMod val="100000"/>
                    </a:srgbClr>
                  </a:gs>
                  <a:gs pos="0">
                    <a:schemeClr val="bg1">
                      <a:lumMod val="84000"/>
                      <a:lumOff val="16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IR 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100000">
                    <a:srgbClr val="9933FF">
                      <a:lumMod val="74000"/>
                      <a:alpha val="86000"/>
                    </a:srgbClr>
                  </a:gs>
                  <a:gs pos="58000">
                    <a:srgbClr val="DF4BDC">
                      <a:lumMod val="100000"/>
                    </a:srgbClr>
                  </a:gs>
                  <a:gs pos="0">
                    <a:schemeClr val="bg1">
                      <a:lumMod val="84000"/>
                      <a:lumOff val="16000"/>
                    </a:schemeClr>
                  </a:gs>
                </a:gsLst>
                <a:lin ang="0" scaled="1"/>
                <a:tileRect/>
              </a:gradFill>
              <a:effectLst/>
              <a:latin typeface="Arial Black" panose="020B0A04020102020204" pitchFamily="34" charset="0"/>
            </a:rPr>
            <a:t>APP</a:t>
          </a:r>
          <a:endParaRPr lang="pt-BR" sz="2000" b="1">
            <a:ln>
              <a:noFill/>
            </a:ln>
            <a:gradFill flip="none" rotWithShape="1">
              <a:gsLst>
                <a:gs pos="100000">
                  <a:srgbClr val="9933FF">
                    <a:lumMod val="74000"/>
                    <a:alpha val="86000"/>
                  </a:srgbClr>
                </a:gs>
                <a:gs pos="58000">
                  <a:srgbClr val="DF4BDC">
                    <a:lumMod val="100000"/>
                  </a:srgbClr>
                </a:gs>
                <a:gs pos="0">
                  <a:schemeClr val="bg1">
                    <a:lumMod val="84000"/>
                    <a:lumOff val="16000"/>
                  </a:schemeClr>
                </a:gs>
              </a:gsLst>
              <a:lin ang="0" scaled="1"/>
              <a:tileRect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66339</xdr:colOff>
      <xdr:row>8</xdr:row>
      <xdr:rowOff>149710</xdr:rowOff>
    </xdr:from>
    <xdr:to>
      <xdr:col>0</xdr:col>
      <xdr:colOff>2161839</xdr:colOff>
      <xdr:row>10</xdr:row>
      <xdr:rowOff>85613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064F56-4D68-4926-AE12-63401EBD38C5}"/>
            </a:ext>
          </a:extLst>
        </xdr:cNvPr>
        <xdr:cNvSpPr/>
      </xdr:nvSpPr>
      <xdr:spPr>
        <a:xfrm>
          <a:off x="66339" y="1767840"/>
          <a:ext cx="2095500" cy="358140"/>
        </a:xfrm>
        <a:prstGeom prst="roundRect">
          <a:avLst>
            <a:gd name="adj" fmla="val 50000"/>
          </a:avLst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66339</xdr:colOff>
      <xdr:row>10</xdr:row>
      <xdr:rowOff>204844</xdr:rowOff>
    </xdr:from>
    <xdr:to>
      <xdr:col>0</xdr:col>
      <xdr:colOff>2161839</xdr:colOff>
      <xdr:row>12</xdr:row>
      <xdr:rowOff>140746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A75E04-C6E4-46E1-8A02-890C41BEBBF6}"/>
            </a:ext>
          </a:extLst>
        </xdr:cNvPr>
        <xdr:cNvSpPr/>
      </xdr:nvSpPr>
      <xdr:spPr>
        <a:xfrm>
          <a:off x="66339" y="2245211"/>
          <a:ext cx="2095500" cy="358139"/>
        </a:xfrm>
        <a:prstGeom prst="roundRect">
          <a:avLst>
            <a:gd name="adj" fmla="val 50000"/>
          </a:avLst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  <a:p>
          <a:pPr marL="0" indent="0" algn="ctr"/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66339</xdr:colOff>
      <xdr:row>13</xdr:row>
      <xdr:rowOff>44824</xdr:rowOff>
    </xdr:from>
    <xdr:to>
      <xdr:col>0</xdr:col>
      <xdr:colOff>2161839</xdr:colOff>
      <xdr:row>14</xdr:row>
      <xdr:rowOff>195879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F15E37E-EC32-4A02-A5CB-AD1255B88A76}"/>
            </a:ext>
          </a:extLst>
        </xdr:cNvPr>
        <xdr:cNvSpPr/>
      </xdr:nvSpPr>
      <xdr:spPr>
        <a:xfrm>
          <a:off x="66339" y="2718547"/>
          <a:ext cx="2095500" cy="358140"/>
        </a:xfrm>
        <a:prstGeom prst="roundRect">
          <a:avLst>
            <a:gd name="adj" fmla="val 50000"/>
          </a:avLst>
        </a:prstGeom>
        <a:gradFill>
          <a:gsLst>
            <a:gs pos="100000">
              <a:srgbClr val="9933FF">
                <a:lumMod val="100000"/>
                <a:alpha val="52000"/>
              </a:srgbClr>
            </a:gs>
            <a:gs pos="38000">
              <a:srgbClr val="DF4BDC">
                <a:lumMod val="100000"/>
              </a:srgbClr>
            </a:gs>
          </a:gsLst>
          <a:lin ang="0" scaled="1"/>
        </a:gra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  <a:p>
          <a:pPr marL="0" indent="0" algn="ctr"/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  <a:p>
          <a:pPr marL="0" indent="0" algn="ctr"/>
          <a:endParaRPr lang="pt-BR" sz="1800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228600</xdr:colOff>
      <xdr:row>17</xdr:row>
      <xdr:rowOff>53788</xdr:rowOff>
    </xdr:from>
    <xdr:to>
      <xdr:col>0</xdr:col>
      <xdr:colOff>1949824</xdr:colOff>
      <xdr:row>18</xdr:row>
      <xdr:rowOff>64097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00CF46F-49DA-43B1-9DB3-E27F66CB0838}"/>
            </a:ext>
          </a:extLst>
        </xdr:cNvPr>
        <xdr:cNvSpPr/>
      </xdr:nvSpPr>
      <xdr:spPr>
        <a:xfrm>
          <a:off x="228600" y="3648635"/>
          <a:ext cx="1721224" cy="225462"/>
        </a:xfrm>
        <a:prstGeom prst="rect">
          <a:avLst/>
        </a:prstGeom>
        <a:noFill/>
        <a:ln>
          <a:noFill/>
        </a:ln>
        <a:effectLst>
          <a:glow rad="63500">
            <a:schemeClr val="accent5">
              <a:satMod val="175000"/>
              <a:alpha val="55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gradFill flip="none" rotWithShape="1">
                <a:gsLst>
                  <a:gs pos="0">
                    <a:srgbClr val="FF33CC">
                      <a:lumMod val="0"/>
                      <a:lumOff val="100000"/>
                    </a:srgbClr>
                  </a:gs>
                  <a:gs pos="100000">
                    <a:srgbClr val="9933FF"/>
                  </a:gs>
                  <a:gs pos="59000">
                    <a:srgbClr val="00B0F0"/>
                  </a:gs>
                </a:gsLst>
                <a:lin ang="0" scaled="1"/>
                <a:tileRect/>
              </a:gradFill>
              <a:effectLst>
                <a:glow rad="139700">
                  <a:schemeClr val="accent5">
                    <a:satMod val="175000"/>
                    <a:alpha val="40000"/>
                  </a:schemeClr>
                </a:glo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SISTEM BY ADELSON </a:t>
          </a:r>
        </a:p>
      </xdr:txBody>
    </xdr:sp>
    <xdr:clientData/>
  </xdr:twoCellAnchor>
  <xdr:twoCellAnchor editAs="absolute">
    <xdr:from>
      <xdr:col>0</xdr:col>
      <xdr:colOff>170330</xdr:colOff>
      <xdr:row>16</xdr:row>
      <xdr:rowOff>107576</xdr:rowOff>
    </xdr:from>
    <xdr:to>
      <xdr:col>0</xdr:col>
      <xdr:colOff>2008094</xdr:colOff>
      <xdr:row>16</xdr:row>
      <xdr:rowOff>107576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E911BB30-DA9E-4FF6-9A4D-ED579E36AD1E}"/>
            </a:ext>
          </a:extLst>
        </xdr:cNvPr>
        <xdr:cNvCxnSpPr/>
      </xdr:nvCxnSpPr>
      <xdr:spPr>
        <a:xfrm>
          <a:off x="170330" y="3410622"/>
          <a:ext cx="1837764" cy="0"/>
        </a:xfrm>
        <a:prstGeom prst="line">
          <a:avLst/>
        </a:prstGeom>
        <a:effectLst>
          <a:glow rad="63500">
            <a:srgbClr val="00B0F0"/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924207</xdr:colOff>
      <xdr:row>19</xdr:row>
      <xdr:rowOff>8966</xdr:rowOff>
    </xdr:from>
    <xdr:to>
      <xdr:col>0</xdr:col>
      <xdr:colOff>1254217</xdr:colOff>
      <xdr:row>20</xdr:row>
      <xdr:rowOff>132213</xdr:rowOff>
    </xdr:to>
    <xdr:pic>
      <xdr:nvPicPr>
        <xdr:cNvPr id="9" name="Imagem 8" descr="Linkedin - ícones de social gráti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8ADF4C4-5AE8-4E68-851D-4F12D994A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41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4207" y="4034119"/>
          <a:ext cx="330010" cy="338400"/>
        </a:xfrm>
        <a:prstGeom prst="rect">
          <a:avLst/>
        </a:prstGeom>
        <a:noFill/>
        <a:effectLst>
          <a:glow rad="101600">
            <a:schemeClr val="accent1">
              <a:satMod val="175000"/>
              <a:alpha val="40000"/>
            </a:schemeClr>
          </a:glow>
        </a:effectLst>
      </xdr:spPr>
    </xdr:pic>
    <xdr:clientData/>
  </xdr:twoCellAnchor>
  <xdr:twoCellAnchor editAs="absolute">
    <xdr:from>
      <xdr:col>1</xdr:col>
      <xdr:colOff>654424</xdr:colOff>
      <xdr:row>4</xdr:row>
      <xdr:rowOff>53788</xdr:rowOff>
    </xdr:from>
    <xdr:to>
      <xdr:col>2</xdr:col>
      <xdr:colOff>1228165</xdr:colOff>
      <xdr:row>5</xdr:row>
      <xdr:rowOff>125505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851825-128B-4B97-B0F0-F90FD88C1128}"/>
            </a:ext>
          </a:extLst>
        </xdr:cNvPr>
        <xdr:cNvSpPr/>
      </xdr:nvSpPr>
      <xdr:spPr>
        <a:xfrm>
          <a:off x="2868706" y="950259"/>
          <a:ext cx="1246094" cy="251011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29BC5-9B8B-4F43-A94C-13A07DA1FE81}" name="Tabela1" displayName="Tabela1" ref="C8:E77" totalsRowShown="0" headerRowDxfId="4" dataDxfId="3">
  <autoFilter ref="C8:E77" xr:uid="{DA629BC5-9B8B-4F43-A94C-13A07DA1FE81}"/>
  <tableColumns count="3">
    <tableColumn id="1" xr3:uid="{88C721BF-2425-40E1-BC01-1000BD3A21EA}" name="DATA" dataDxfId="2"/>
    <tableColumn id="2" xr3:uid="{F38A00E4-6722-4A21-B8F8-932D699F7AA1}" name="CATEGORIA" dataDxfId="1"/>
    <tableColumn id="3" xr3:uid="{6563D217-485D-4FB5-8915-02D3105B8A97}" name="VALOR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alazar@omni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7C6C-0249-48FF-8F9E-7C325D6BCDF5}">
  <sheetPr codeName="Planilha1"/>
  <dimension ref="A3:E19"/>
  <sheetViews>
    <sheetView showGridLines="0" showRowColHeaders="0" tabSelected="1" zoomScale="85" zoomScaleNormal="85" workbookViewId="0">
      <selection activeCell="D6" sqref="D6"/>
    </sheetView>
  </sheetViews>
  <sheetFormatPr defaultRowHeight="13.8" x14ac:dyDescent="0.25"/>
  <cols>
    <col min="1" max="1" width="29" style="1" customWidth="1"/>
    <col min="3" max="4" width="42.09765625" customWidth="1"/>
  </cols>
  <sheetData>
    <row r="3" spans="3:5" ht="20.399999999999999" thickBot="1" x14ac:dyDescent="0.45">
      <c r="C3" s="3" t="s">
        <v>93</v>
      </c>
      <c r="D3" s="4"/>
      <c r="E3" s="4"/>
    </row>
    <row r="4" spans="3:5" ht="22.05" customHeight="1" thickTop="1" x14ac:dyDescent="0.25">
      <c r="C4" s="23" t="s">
        <v>23</v>
      </c>
      <c r="D4" s="23"/>
      <c r="E4" s="23"/>
    </row>
    <row r="6" spans="3:5" ht="16.8" x14ac:dyDescent="0.4">
      <c r="C6" s="2" t="s">
        <v>0</v>
      </c>
      <c r="D6" s="5" t="s">
        <v>18</v>
      </c>
    </row>
    <row r="7" spans="3:5" ht="16.8" x14ac:dyDescent="0.4">
      <c r="C7" s="2" t="s">
        <v>1</v>
      </c>
      <c r="D7" s="6">
        <v>12312312398</v>
      </c>
    </row>
    <row r="8" spans="3:5" ht="16.8" x14ac:dyDescent="0.4">
      <c r="C8" s="2" t="s">
        <v>2</v>
      </c>
      <c r="D8" s="7">
        <v>34605</v>
      </c>
    </row>
    <row r="9" spans="3:5" ht="16.8" x14ac:dyDescent="0.4">
      <c r="C9" s="2" t="s">
        <v>3</v>
      </c>
      <c r="D9" s="5">
        <v>31713388</v>
      </c>
    </row>
    <row r="10" spans="3:5" ht="16.8" x14ac:dyDescent="0.4">
      <c r="C10" s="2" t="s">
        <v>4</v>
      </c>
      <c r="D10" s="5" t="s">
        <v>14</v>
      </c>
    </row>
    <row r="11" spans="3:5" ht="16.8" x14ac:dyDescent="0.4">
      <c r="C11" s="2" t="s">
        <v>5</v>
      </c>
      <c r="D11" s="5" t="s">
        <v>19</v>
      </c>
    </row>
    <row r="12" spans="3:5" ht="16.8" x14ac:dyDescent="0.4">
      <c r="C12" s="2" t="s">
        <v>6</v>
      </c>
      <c r="D12" s="5" t="s">
        <v>15</v>
      </c>
    </row>
    <row r="13" spans="3:5" ht="16.8" x14ac:dyDescent="0.4">
      <c r="C13" s="2" t="s">
        <v>7</v>
      </c>
      <c r="D13" s="8">
        <v>987654321</v>
      </c>
    </row>
    <row r="14" spans="3:5" ht="16.8" x14ac:dyDescent="0.4">
      <c r="C14" s="2" t="s">
        <v>8</v>
      </c>
      <c r="D14" s="9">
        <v>1199999999</v>
      </c>
    </row>
    <row r="15" spans="3:5" ht="16.8" x14ac:dyDescent="0.4">
      <c r="C15" s="2" t="s">
        <v>9</v>
      </c>
      <c r="D15" s="10">
        <v>11999999999</v>
      </c>
    </row>
    <row r="16" spans="3:5" ht="16.8" x14ac:dyDescent="0.4">
      <c r="C16" s="2" t="s">
        <v>10</v>
      </c>
      <c r="D16" s="11" t="s">
        <v>20</v>
      </c>
    </row>
    <row r="17" spans="3:4" ht="16.8" x14ac:dyDescent="0.4">
      <c r="C17" s="2" t="s">
        <v>11</v>
      </c>
      <c r="D17" s="5" t="s">
        <v>16</v>
      </c>
    </row>
    <row r="18" spans="3:4" ht="16.8" x14ac:dyDescent="0.4">
      <c r="C18" s="2" t="s">
        <v>12</v>
      </c>
      <c r="D18" s="5" t="s">
        <v>17</v>
      </c>
    </row>
    <row r="19" spans="3:4" ht="16.8" x14ac:dyDescent="0.4">
      <c r="C19" s="2" t="s">
        <v>13</v>
      </c>
      <c r="D19" s="5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CC37B832-D2E4-482F-AEA3-FAF3DCD773DB}">
      <formula1>"SIM,NÃO"</formula1>
    </dataValidation>
  </dataValidations>
  <hyperlinks>
    <hyperlink ref="D16" r:id="rId1" xr:uid="{F213A467-D7B0-4ED3-A49F-9F3E55D2FD0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D816-1668-40DE-8131-4654E7F8E189}">
  <sheetPr codeName="Planilha2"/>
  <dimension ref="A3:E22"/>
  <sheetViews>
    <sheetView showGridLines="0" showRowColHeaders="0" zoomScale="85" zoomScaleNormal="85" workbookViewId="0">
      <selection activeCell="C1" sqref="C1"/>
    </sheetView>
  </sheetViews>
  <sheetFormatPr defaultRowHeight="13.8" x14ac:dyDescent="0.25"/>
  <cols>
    <col min="1" max="1" width="29" style="1" customWidth="1"/>
    <col min="3" max="4" width="42.09765625" customWidth="1"/>
  </cols>
  <sheetData>
    <row r="3" spans="3:5" ht="20.399999999999999" thickBot="1" x14ac:dyDescent="0.45">
      <c r="C3" s="3" t="s">
        <v>21</v>
      </c>
      <c r="D3" s="4"/>
      <c r="E3" s="4"/>
    </row>
    <row r="4" spans="3:5" ht="22.05" customHeight="1" thickTop="1" x14ac:dyDescent="0.25">
      <c r="C4" s="23" t="s">
        <v>22</v>
      </c>
      <c r="D4" s="23"/>
      <c r="E4" s="23"/>
    </row>
    <row r="6" spans="3:5" x14ac:dyDescent="0.25">
      <c r="C6" s="15" t="s">
        <v>82</v>
      </c>
    </row>
    <row r="7" spans="3:5" ht="15.6" x14ac:dyDescent="0.3">
      <c r="C7" s="24">
        <f>SUM(D11,D16,D21)</f>
        <v>3959482.25</v>
      </c>
      <c r="D7" s="25"/>
    </row>
    <row r="9" spans="3:5" x14ac:dyDescent="0.25">
      <c r="C9" s="22" t="s">
        <v>79</v>
      </c>
    </row>
    <row r="10" spans="3:5" ht="16.8" x14ac:dyDescent="0.4">
      <c r="C10" s="2" t="s">
        <v>24</v>
      </c>
      <c r="D10" s="5" t="s">
        <v>48</v>
      </c>
    </row>
    <row r="11" spans="3:5" ht="16.8" x14ac:dyDescent="0.4">
      <c r="C11" s="2" t="s">
        <v>25</v>
      </c>
      <c r="D11" s="12">
        <v>500000</v>
      </c>
    </row>
    <row r="12" spans="3:5" ht="16.8" x14ac:dyDescent="0.4">
      <c r="C12" s="2" t="s">
        <v>26</v>
      </c>
      <c r="D12" s="5" t="s">
        <v>78</v>
      </c>
    </row>
    <row r="14" spans="3:5" x14ac:dyDescent="0.25">
      <c r="C14" s="22" t="s">
        <v>80</v>
      </c>
    </row>
    <row r="15" spans="3:5" ht="16.8" x14ac:dyDescent="0.4">
      <c r="C15" s="2" t="s">
        <v>24</v>
      </c>
      <c r="D15" s="5" t="s">
        <v>38</v>
      </c>
    </row>
    <row r="16" spans="3:5" ht="16.8" x14ac:dyDescent="0.4">
      <c r="C16" s="2" t="s">
        <v>25</v>
      </c>
      <c r="D16" s="12">
        <v>1875000</v>
      </c>
    </row>
    <row r="17" spans="3:4" ht="16.8" x14ac:dyDescent="0.4">
      <c r="C17" s="2" t="s">
        <v>26</v>
      </c>
      <c r="D17" s="5" t="s">
        <v>78</v>
      </c>
    </row>
    <row r="19" spans="3:4" x14ac:dyDescent="0.25">
      <c r="C19" s="22" t="s">
        <v>81</v>
      </c>
    </row>
    <row r="20" spans="3:4" ht="16.8" x14ac:dyDescent="0.4">
      <c r="C20" s="2" t="s">
        <v>24</v>
      </c>
      <c r="D20" s="5" t="s">
        <v>46</v>
      </c>
    </row>
    <row r="21" spans="3:4" ht="16.8" x14ac:dyDescent="0.4">
      <c r="C21" s="2" t="s">
        <v>25</v>
      </c>
      <c r="D21" s="12">
        <v>1584482.25</v>
      </c>
    </row>
    <row r="22" spans="3:4" ht="16.8" x14ac:dyDescent="0.4">
      <c r="C22" s="2" t="s">
        <v>26</v>
      </c>
      <c r="D22" s="5" t="s">
        <v>78</v>
      </c>
    </row>
  </sheetData>
  <sheetProtection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3912F8D7-7C59-4DB5-BFB8-68D861D0DF0F}">
          <x14:formula1>
            <xm:f>TABELAS!$A$3:$A$51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6B9E-F925-4A7A-8415-06A5CEFBC722}">
  <sheetPr codeName="Planilha3"/>
  <dimension ref="A3:E77"/>
  <sheetViews>
    <sheetView showGridLines="0" showRowColHeaders="0" zoomScale="85" zoomScaleNormal="85" workbookViewId="0">
      <selection activeCell="C9" sqref="C9"/>
    </sheetView>
  </sheetViews>
  <sheetFormatPr defaultRowHeight="13.8" x14ac:dyDescent="0.25"/>
  <cols>
    <col min="1" max="1" width="29" style="1" customWidth="1"/>
    <col min="3" max="5" width="25.69921875" customWidth="1"/>
  </cols>
  <sheetData>
    <row r="3" spans="3:5" ht="20.399999999999999" thickBot="1" x14ac:dyDescent="0.45">
      <c r="C3" s="3" t="s">
        <v>83</v>
      </c>
      <c r="D3" s="4"/>
      <c r="E3" s="4"/>
    </row>
    <row r="4" spans="3:5" ht="22.05" customHeight="1" thickTop="1" x14ac:dyDescent="0.25">
      <c r="C4" s="23" t="s">
        <v>84</v>
      </c>
      <c r="D4" s="23"/>
      <c r="E4" s="23"/>
    </row>
    <row r="7" spans="3:5" ht="16.8" x14ac:dyDescent="0.4">
      <c r="C7" s="26" t="s">
        <v>88</v>
      </c>
      <c r="D7" s="26"/>
      <c r="E7" s="26"/>
    </row>
    <row r="8" spans="3:5" ht="15" x14ac:dyDescent="0.35">
      <c r="C8" s="16" t="s">
        <v>85</v>
      </c>
      <c r="D8" s="16" t="s">
        <v>86</v>
      </c>
      <c r="E8" s="16" t="s">
        <v>87</v>
      </c>
    </row>
    <row r="9" spans="3:5" ht="16.8" x14ac:dyDescent="0.25">
      <c r="C9" s="19">
        <v>46288</v>
      </c>
      <c r="D9" s="20" t="s">
        <v>89</v>
      </c>
      <c r="E9" s="21">
        <v>3000</v>
      </c>
    </row>
    <row r="10" spans="3:5" ht="16.8" x14ac:dyDescent="0.25">
      <c r="C10" s="20"/>
      <c r="D10" s="20"/>
      <c r="E10" s="20"/>
    </row>
    <row r="11" spans="3:5" ht="16.8" x14ac:dyDescent="0.25">
      <c r="C11" s="20"/>
      <c r="D11" s="20"/>
      <c r="E11" s="20"/>
    </row>
    <row r="12" spans="3:5" ht="16.8" x14ac:dyDescent="0.25">
      <c r="C12" s="20"/>
      <c r="D12" s="20"/>
      <c r="E12" s="20"/>
    </row>
    <row r="13" spans="3:5" ht="16.8" x14ac:dyDescent="0.25">
      <c r="C13" s="20"/>
      <c r="D13" s="20"/>
      <c r="E13" s="20"/>
    </row>
    <row r="14" spans="3:5" ht="16.8" x14ac:dyDescent="0.25">
      <c r="C14" s="20"/>
      <c r="D14" s="20"/>
      <c r="E14" s="20"/>
    </row>
    <row r="15" spans="3:5" ht="16.8" x14ac:dyDescent="0.25">
      <c r="C15" s="20"/>
      <c r="D15" s="20"/>
      <c r="E15" s="20"/>
    </row>
    <row r="16" spans="3:5" ht="16.8" x14ac:dyDescent="0.25">
      <c r="C16" s="20"/>
      <c r="D16" s="20"/>
      <c r="E16" s="20"/>
    </row>
    <row r="17" spans="3:5" ht="16.8" x14ac:dyDescent="0.25">
      <c r="C17" s="20"/>
      <c r="D17" s="20"/>
      <c r="E17" s="20"/>
    </row>
    <row r="18" spans="3:5" ht="16.8" x14ac:dyDescent="0.25">
      <c r="C18" s="20"/>
      <c r="D18" s="20"/>
      <c r="E18" s="20"/>
    </row>
    <row r="19" spans="3:5" ht="16.8" x14ac:dyDescent="0.25">
      <c r="C19" s="20"/>
      <c r="D19" s="20"/>
      <c r="E19" s="20"/>
    </row>
    <row r="20" spans="3:5" ht="16.8" x14ac:dyDescent="0.25">
      <c r="C20" s="20"/>
      <c r="D20" s="20"/>
      <c r="E20" s="20"/>
    </row>
    <row r="21" spans="3:5" ht="16.8" x14ac:dyDescent="0.25">
      <c r="C21" s="20"/>
      <c r="D21" s="20"/>
      <c r="E21" s="20"/>
    </row>
    <row r="22" spans="3:5" ht="16.8" x14ac:dyDescent="0.25">
      <c r="C22" s="20"/>
      <c r="D22" s="20"/>
      <c r="E22" s="20"/>
    </row>
    <row r="23" spans="3:5" ht="16.8" x14ac:dyDescent="0.25">
      <c r="C23" s="20"/>
      <c r="D23" s="20"/>
      <c r="E23" s="20"/>
    </row>
    <row r="24" spans="3:5" ht="16.8" x14ac:dyDescent="0.25">
      <c r="C24" s="20"/>
      <c r="D24" s="20"/>
      <c r="E24" s="20"/>
    </row>
    <row r="25" spans="3:5" ht="16.8" x14ac:dyDescent="0.25">
      <c r="C25" s="20"/>
      <c r="D25" s="20"/>
      <c r="E25" s="20"/>
    </row>
    <row r="26" spans="3:5" ht="16.8" x14ac:dyDescent="0.25">
      <c r="C26" s="20"/>
      <c r="D26" s="20"/>
      <c r="E26" s="20"/>
    </row>
    <row r="27" spans="3:5" ht="16.8" x14ac:dyDescent="0.25">
      <c r="C27" s="20"/>
      <c r="D27" s="20"/>
      <c r="E27" s="20"/>
    </row>
    <row r="28" spans="3:5" ht="16.8" x14ac:dyDescent="0.25">
      <c r="C28" s="20"/>
      <c r="D28" s="20"/>
      <c r="E28" s="20"/>
    </row>
    <row r="29" spans="3:5" ht="16.8" x14ac:dyDescent="0.25">
      <c r="C29" s="20"/>
      <c r="D29" s="20"/>
      <c r="E29" s="20"/>
    </row>
    <row r="30" spans="3:5" ht="16.8" x14ac:dyDescent="0.25">
      <c r="C30" s="20"/>
      <c r="D30" s="20"/>
      <c r="E30" s="20"/>
    </row>
    <row r="31" spans="3:5" ht="16.8" x14ac:dyDescent="0.25">
      <c r="C31" s="20"/>
      <c r="D31" s="20"/>
      <c r="E31" s="20"/>
    </row>
    <row r="32" spans="3:5" ht="16.8" x14ac:dyDescent="0.25">
      <c r="C32" s="20"/>
      <c r="D32" s="20"/>
      <c r="E32" s="20"/>
    </row>
    <row r="33" spans="3:5" ht="16.8" x14ac:dyDescent="0.25">
      <c r="C33" s="20"/>
      <c r="D33" s="20"/>
      <c r="E33" s="20"/>
    </row>
    <row r="34" spans="3:5" ht="16.8" x14ac:dyDescent="0.25">
      <c r="C34" s="20"/>
      <c r="D34" s="20"/>
      <c r="E34" s="20"/>
    </row>
    <row r="35" spans="3:5" ht="16.8" x14ac:dyDescent="0.25">
      <c r="C35" s="20"/>
      <c r="D35" s="20"/>
      <c r="E35" s="20"/>
    </row>
    <row r="36" spans="3:5" ht="16.8" x14ac:dyDescent="0.25">
      <c r="C36" s="20"/>
      <c r="D36" s="20"/>
      <c r="E36" s="20"/>
    </row>
    <row r="37" spans="3:5" ht="16.8" x14ac:dyDescent="0.25">
      <c r="C37" s="20"/>
      <c r="D37" s="20"/>
      <c r="E37" s="20"/>
    </row>
    <row r="38" spans="3:5" ht="16.8" x14ac:dyDescent="0.25">
      <c r="C38" s="20"/>
      <c r="D38" s="20"/>
      <c r="E38" s="20"/>
    </row>
    <row r="39" spans="3:5" ht="16.8" x14ac:dyDescent="0.25">
      <c r="C39" s="20"/>
      <c r="D39" s="20"/>
      <c r="E39" s="20"/>
    </row>
    <row r="40" spans="3:5" ht="16.8" x14ac:dyDescent="0.25">
      <c r="C40" s="20"/>
      <c r="D40" s="20"/>
      <c r="E40" s="20"/>
    </row>
    <row r="41" spans="3:5" ht="16.8" x14ac:dyDescent="0.25">
      <c r="C41" s="20"/>
      <c r="D41" s="20"/>
      <c r="E41" s="20"/>
    </row>
    <row r="42" spans="3:5" ht="16.8" x14ac:dyDescent="0.25">
      <c r="C42" s="20"/>
      <c r="D42" s="20"/>
      <c r="E42" s="20"/>
    </row>
    <row r="43" spans="3:5" ht="16.8" x14ac:dyDescent="0.25">
      <c r="C43" s="20"/>
      <c r="D43" s="20"/>
      <c r="E43" s="20"/>
    </row>
    <row r="44" spans="3:5" ht="16.8" x14ac:dyDescent="0.25">
      <c r="C44" s="20"/>
      <c r="D44" s="20"/>
      <c r="E44" s="20"/>
    </row>
    <row r="45" spans="3:5" ht="16.8" x14ac:dyDescent="0.25">
      <c r="C45" s="20"/>
      <c r="D45" s="20"/>
      <c r="E45" s="20"/>
    </row>
    <row r="46" spans="3:5" ht="16.8" x14ac:dyDescent="0.25">
      <c r="C46" s="20"/>
      <c r="D46" s="20"/>
      <c r="E46" s="20"/>
    </row>
    <row r="47" spans="3:5" ht="16.8" x14ac:dyDescent="0.25">
      <c r="C47" s="20"/>
      <c r="D47" s="20"/>
      <c r="E47" s="20"/>
    </row>
    <row r="48" spans="3:5" ht="16.8" x14ac:dyDescent="0.25">
      <c r="C48" s="20"/>
      <c r="D48" s="20"/>
      <c r="E48" s="20"/>
    </row>
    <row r="49" spans="3:5" ht="16.8" x14ac:dyDescent="0.25">
      <c r="C49" s="20"/>
      <c r="D49" s="20"/>
      <c r="E49" s="20"/>
    </row>
    <row r="50" spans="3:5" ht="16.8" x14ac:dyDescent="0.25">
      <c r="C50" s="20"/>
      <c r="D50" s="20"/>
      <c r="E50" s="20"/>
    </row>
    <row r="51" spans="3:5" ht="16.8" x14ac:dyDescent="0.25">
      <c r="C51" s="20"/>
      <c r="D51" s="20"/>
      <c r="E51" s="20"/>
    </row>
    <row r="52" spans="3:5" ht="16.8" x14ac:dyDescent="0.25">
      <c r="C52" s="20"/>
      <c r="D52" s="20"/>
      <c r="E52" s="20"/>
    </row>
    <row r="53" spans="3:5" ht="16.8" x14ac:dyDescent="0.25">
      <c r="C53" s="20"/>
      <c r="D53" s="20"/>
      <c r="E53" s="20"/>
    </row>
    <row r="54" spans="3:5" ht="16.8" x14ac:dyDescent="0.25">
      <c r="C54" s="20"/>
      <c r="D54" s="20"/>
      <c r="E54" s="20"/>
    </row>
    <row r="55" spans="3:5" ht="16.8" x14ac:dyDescent="0.25">
      <c r="C55" s="20"/>
      <c r="D55" s="20"/>
      <c r="E55" s="20"/>
    </row>
    <row r="56" spans="3:5" ht="16.8" x14ac:dyDescent="0.25">
      <c r="C56" s="20"/>
      <c r="D56" s="20"/>
      <c r="E56" s="20"/>
    </row>
    <row r="57" spans="3:5" ht="16.8" x14ac:dyDescent="0.25">
      <c r="C57" s="20"/>
      <c r="D57" s="20"/>
      <c r="E57" s="20"/>
    </row>
    <row r="58" spans="3:5" ht="16.8" x14ac:dyDescent="0.25">
      <c r="C58" s="20"/>
      <c r="D58" s="20"/>
      <c r="E58" s="20"/>
    </row>
    <row r="59" spans="3:5" ht="16.8" x14ac:dyDescent="0.25">
      <c r="C59" s="20"/>
      <c r="D59" s="20"/>
      <c r="E59" s="20"/>
    </row>
    <row r="60" spans="3:5" ht="16.8" x14ac:dyDescent="0.25">
      <c r="C60" s="20"/>
      <c r="D60" s="20"/>
      <c r="E60" s="20"/>
    </row>
    <row r="61" spans="3:5" ht="16.8" x14ac:dyDescent="0.25">
      <c r="C61" s="20"/>
      <c r="D61" s="20"/>
      <c r="E61" s="20"/>
    </row>
    <row r="62" spans="3:5" ht="16.8" x14ac:dyDescent="0.25">
      <c r="C62" s="20"/>
      <c r="D62" s="20"/>
      <c r="E62" s="20"/>
    </row>
    <row r="63" spans="3:5" ht="16.8" x14ac:dyDescent="0.25">
      <c r="C63" s="20"/>
      <c r="D63" s="20"/>
      <c r="E63" s="20"/>
    </row>
    <row r="64" spans="3:5" ht="16.8" x14ac:dyDescent="0.25">
      <c r="C64" s="20"/>
      <c r="D64" s="20"/>
      <c r="E64" s="20"/>
    </row>
    <row r="65" spans="3:5" ht="16.8" x14ac:dyDescent="0.25">
      <c r="C65" s="20"/>
      <c r="D65" s="20"/>
      <c r="E65" s="20"/>
    </row>
    <row r="66" spans="3:5" ht="16.8" x14ac:dyDescent="0.25">
      <c r="C66" s="20"/>
      <c r="D66" s="20"/>
      <c r="E66" s="20"/>
    </row>
    <row r="67" spans="3:5" ht="16.8" x14ac:dyDescent="0.25">
      <c r="C67" s="20"/>
      <c r="D67" s="20"/>
      <c r="E67" s="20"/>
    </row>
    <row r="68" spans="3:5" ht="16.8" x14ac:dyDescent="0.25">
      <c r="C68" s="20"/>
      <c r="D68" s="20"/>
      <c r="E68" s="20"/>
    </row>
    <row r="69" spans="3:5" ht="16.8" x14ac:dyDescent="0.25">
      <c r="C69" s="20"/>
      <c r="D69" s="20"/>
      <c r="E69" s="20"/>
    </row>
    <row r="70" spans="3:5" ht="16.8" x14ac:dyDescent="0.25">
      <c r="C70" s="20"/>
      <c r="D70" s="20"/>
      <c r="E70" s="20"/>
    </row>
    <row r="71" spans="3:5" ht="16.8" x14ac:dyDescent="0.25">
      <c r="C71" s="20"/>
      <c r="D71" s="20"/>
      <c r="E71" s="20"/>
    </row>
    <row r="72" spans="3:5" ht="16.8" x14ac:dyDescent="0.25">
      <c r="C72" s="20"/>
      <c r="D72" s="20"/>
      <c r="E72" s="20"/>
    </row>
    <row r="73" spans="3:5" ht="16.8" x14ac:dyDescent="0.25">
      <c r="C73" s="20"/>
      <c r="D73" s="20"/>
      <c r="E73" s="20"/>
    </row>
    <row r="74" spans="3:5" ht="16.8" x14ac:dyDescent="0.25">
      <c r="C74" s="20"/>
      <c r="D74" s="20"/>
      <c r="E74" s="20"/>
    </row>
    <row r="75" spans="3:5" ht="16.8" x14ac:dyDescent="0.25">
      <c r="C75" s="20"/>
      <c r="D75" s="20"/>
      <c r="E75" s="20"/>
    </row>
    <row r="76" spans="3:5" ht="16.8" x14ac:dyDescent="0.25">
      <c r="C76" s="20"/>
      <c r="D76" s="20"/>
      <c r="E76" s="20"/>
    </row>
    <row r="77" spans="3:5" ht="16.8" x14ac:dyDescent="0.25">
      <c r="C77" s="20"/>
      <c r="D77" s="20"/>
      <c r="E77" s="20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77" xr:uid="{C0AFB757-4498-4137-BA37-9B3BBA97B832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2966-725A-48E9-B487-4FFF67E01BAA}">
  <dimension ref="A1:B5"/>
  <sheetViews>
    <sheetView workbookViewId="0">
      <selection activeCell="B24" sqref="B24"/>
    </sheetView>
  </sheetViews>
  <sheetFormatPr defaultRowHeight="13.8" x14ac:dyDescent="0.25"/>
  <cols>
    <col min="1" max="2" width="30" style="17" customWidth="1"/>
  </cols>
  <sheetData>
    <row r="1" spans="1:2" x14ac:dyDescent="0.25">
      <c r="A1" s="17" t="s">
        <v>90</v>
      </c>
      <c r="B1" s="17" t="s">
        <v>91</v>
      </c>
    </row>
    <row r="2" spans="1:2" x14ac:dyDescent="0.25">
      <c r="A2" s="17" t="str">
        <f>INFORMES!D10</f>
        <v>341 - Itaú Unibanco</v>
      </c>
      <c r="B2" s="18">
        <f>INFORMES!D11</f>
        <v>500000</v>
      </c>
    </row>
    <row r="3" spans="1:2" x14ac:dyDescent="0.25">
      <c r="A3" s="17" t="str">
        <f>INFORMES!D15</f>
        <v>237 - Banco Bradesco</v>
      </c>
      <c r="B3" s="18">
        <f>INFORMES!D16</f>
        <v>1875000</v>
      </c>
    </row>
    <row r="4" spans="1:2" x14ac:dyDescent="0.25">
      <c r="A4" s="17" t="str">
        <f>INFORMES!D20</f>
        <v>33 - Banco Santander</v>
      </c>
      <c r="B4" s="18">
        <f>INFORMES!D21</f>
        <v>1584482.25</v>
      </c>
    </row>
    <row r="5" spans="1:2" x14ac:dyDescent="0.25">
      <c r="A5" s="17" t="s">
        <v>92</v>
      </c>
      <c r="B5" s="18">
        <f>INFORMES!C7</f>
        <v>3959482.25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3491-6B42-4BE3-AE27-D0650CF221FE}">
  <dimension ref="A1:A51"/>
  <sheetViews>
    <sheetView showGridLines="0" topLeftCell="A29" workbookViewId="0">
      <selection activeCell="D9" sqref="D9"/>
    </sheetView>
  </sheetViews>
  <sheetFormatPr defaultRowHeight="13.8" x14ac:dyDescent="0.25"/>
  <cols>
    <col min="1" max="1" width="31.296875" bestFit="1" customWidth="1"/>
  </cols>
  <sheetData>
    <row r="1" spans="1:1" ht="14.4" x14ac:dyDescent="0.3">
      <c r="A1" s="14" t="s">
        <v>27</v>
      </c>
    </row>
    <row r="2" spans="1:1" ht="14.4" x14ac:dyDescent="0.3">
      <c r="A2" s="13" t="s">
        <v>28</v>
      </c>
    </row>
    <row r="3" spans="1:1" ht="14.4" x14ac:dyDescent="0.3">
      <c r="A3" s="13" t="s">
        <v>29</v>
      </c>
    </row>
    <row r="4" spans="1:1" ht="14.4" x14ac:dyDescent="0.3">
      <c r="A4" s="13" t="s">
        <v>30</v>
      </c>
    </row>
    <row r="5" spans="1:1" ht="14.4" x14ac:dyDescent="0.3">
      <c r="A5" s="13" t="s">
        <v>31</v>
      </c>
    </row>
    <row r="6" spans="1:1" ht="14.4" x14ac:dyDescent="0.3">
      <c r="A6" s="13" t="s">
        <v>32</v>
      </c>
    </row>
    <row r="7" spans="1:1" ht="14.4" x14ac:dyDescent="0.3">
      <c r="A7" s="13" t="s">
        <v>33</v>
      </c>
    </row>
    <row r="8" spans="1:1" ht="14.4" x14ac:dyDescent="0.3">
      <c r="A8" s="13" t="s">
        <v>34</v>
      </c>
    </row>
    <row r="9" spans="1:1" ht="14.4" x14ac:dyDescent="0.3">
      <c r="A9" s="13" t="s">
        <v>35</v>
      </c>
    </row>
    <row r="10" spans="1:1" ht="14.4" x14ac:dyDescent="0.3">
      <c r="A10" s="13" t="s">
        <v>36</v>
      </c>
    </row>
    <row r="11" spans="1:1" ht="14.4" x14ac:dyDescent="0.3">
      <c r="A11" s="13" t="s">
        <v>37</v>
      </c>
    </row>
    <row r="12" spans="1:1" ht="14.4" x14ac:dyDescent="0.3">
      <c r="A12" s="13" t="s">
        <v>38</v>
      </c>
    </row>
    <row r="13" spans="1:1" ht="14.4" x14ac:dyDescent="0.3">
      <c r="A13" s="13" t="s">
        <v>39</v>
      </c>
    </row>
    <row r="14" spans="1:1" ht="14.4" x14ac:dyDescent="0.3">
      <c r="A14" s="13" t="s">
        <v>40</v>
      </c>
    </row>
    <row r="15" spans="1:1" ht="14.4" x14ac:dyDescent="0.3">
      <c r="A15" s="13" t="s">
        <v>41</v>
      </c>
    </row>
    <row r="16" spans="1:1" ht="14.4" x14ac:dyDescent="0.3">
      <c r="A16" s="13" t="s">
        <v>42</v>
      </c>
    </row>
    <row r="17" spans="1:1" ht="14.4" x14ac:dyDescent="0.3">
      <c r="A17" s="13" t="s">
        <v>43</v>
      </c>
    </row>
    <row r="18" spans="1:1" ht="14.4" x14ac:dyDescent="0.3">
      <c r="A18" s="13" t="s">
        <v>44</v>
      </c>
    </row>
    <row r="19" spans="1:1" ht="14.4" x14ac:dyDescent="0.3">
      <c r="A19" s="13" t="s">
        <v>45</v>
      </c>
    </row>
    <row r="20" spans="1:1" ht="14.4" x14ac:dyDescent="0.3">
      <c r="A20" s="13" t="s">
        <v>46</v>
      </c>
    </row>
    <row r="21" spans="1:1" ht="14.4" x14ac:dyDescent="0.3">
      <c r="A21" s="13" t="s">
        <v>47</v>
      </c>
    </row>
    <row r="22" spans="1:1" ht="14.4" x14ac:dyDescent="0.3">
      <c r="A22" s="13" t="s">
        <v>48</v>
      </c>
    </row>
    <row r="23" spans="1:1" ht="14.4" x14ac:dyDescent="0.3">
      <c r="A23" s="13" t="s">
        <v>49</v>
      </c>
    </row>
    <row r="24" spans="1:1" ht="14.4" x14ac:dyDescent="0.3">
      <c r="A24" s="13" t="s">
        <v>50</v>
      </c>
    </row>
    <row r="25" spans="1:1" ht="14.4" x14ac:dyDescent="0.3">
      <c r="A25" s="13" t="s">
        <v>51</v>
      </c>
    </row>
    <row r="26" spans="1:1" ht="14.4" x14ac:dyDescent="0.3">
      <c r="A26" s="13" t="s">
        <v>52</v>
      </c>
    </row>
    <row r="27" spans="1:1" ht="14.4" x14ac:dyDescent="0.3">
      <c r="A27" s="13" t="s">
        <v>53</v>
      </c>
    </row>
    <row r="28" spans="1:1" ht="14.4" x14ac:dyDescent="0.3">
      <c r="A28" s="13" t="s">
        <v>54</v>
      </c>
    </row>
    <row r="29" spans="1:1" ht="14.4" x14ac:dyDescent="0.3">
      <c r="A29" s="13" t="s">
        <v>55</v>
      </c>
    </row>
    <row r="30" spans="1:1" ht="14.4" x14ac:dyDescent="0.3">
      <c r="A30" s="13" t="s">
        <v>56</v>
      </c>
    </row>
    <row r="31" spans="1:1" ht="14.4" x14ac:dyDescent="0.3">
      <c r="A31" s="13" t="s">
        <v>57</v>
      </c>
    </row>
    <row r="32" spans="1:1" ht="14.4" x14ac:dyDescent="0.3">
      <c r="A32" s="13" t="s">
        <v>58</v>
      </c>
    </row>
    <row r="33" spans="1:1" ht="14.4" x14ac:dyDescent="0.3">
      <c r="A33" s="13" t="s">
        <v>59</v>
      </c>
    </row>
    <row r="34" spans="1:1" ht="14.4" x14ac:dyDescent="0.3">
      <c r="A34" s="13" t="s">
        <v>60</v>
      </c>
    </row>
    <row r="35" spans="1:1" ht="14.4" x14ac:dyDescent="0.3">
      <c r="A35" s="13" t="s">
        <v>61</v>
      </c>
    </row>
    <row r="36" spans="1:1" ht="14.4" x14ac:dyDescent="0.3">
      <c r="A36" s="13" t="s">
        <v>62</v>
      </c>
    </row>
    <row r="37" spans="1:1" ht="14.4" x14ac:dyDescent="0.3">
      <c r="A37" s="13" t="s">
        <v>63</v>
      </c>
    </row>
    <row r="38" spans="1:1" ht="14.4" x14ac:dyDescent="0.3">
      <c r="A38" s="13" t="s">
        <v>64</v>
      </c>
    </row>
    <row r="39" spans="1:1" ht="14.4" x14ac:dyDescent="0.3">
      <c r="A39" s="13" t="s">
        <v>65</v>
      </c>
    </row>
    <row r="40" spans="1:1" ht="14.4" x14ac:dyDescent="0.3">
      <c r="A40" s="13" t="s">
        <v>66</v>
      </c>
    </row>
    <row r="41" spans="1:1" ht="14.4" x14ac:dyDescent="0.3">
      <c r="A41" s="13" t="s">
        <v>67</v>
      </c>
    </row>
    <row r="42" spans="1:1" ht="14.4" x14ac:dyDescent="0.3">
      <c r="A42" s="13" t="s">
        <v>68</v>
      </c>
    </row>
    <row r="43" spans="1:1" ht="14.4" x14ac:dyDescent="0.3">
      <c r="A43" s="13" t="s">
        <v>69</v>
      </c>
    </row>
    <row r="44" spans="1:1" ht="14.4" x14ac:dyDescent="0.3">
      <c r="A44" s="13" t="s">
        <v>70</v>
      </c>
    </row>
    <row r="45" spans="1:1" ht="14.4" x14ac:dyDescent="0.3">
      <c r="A45" s="13" t="s">
        <v>71</v>
      </c>
    </row>
    <row r="46" spans="1:1" ht="14.4" x14ac:dyDescent="0.3">
      <c r="A46" s="13" t="s">
        <v>72</v>
      </c>
    </row>
    <row r="47" spans="1:1" ht="14.4" x14ac:dyDescent="0.3">
      <c r="A47" s="13" t="s">
        <v>73</v>
      </c>
    </row>
    <row r="48" spans="1:1" ht="14.4" x14ac:dyDescent="0.3">
      <c r="A48" s="13" t="s">
        <v>74</v>
      </c>
    </row>
    <row r="49" spans="1:1" ht="14.4" x14ac:dyDescent="0.3">
      <c r="A49" s="13" t="s">
        <v>75</v>
      </c>
    </row>
    <row r="50" spans="1:1" ht="14.4" x14ac:dyDescent="0.3">
      <c r="A50" s="13" t="s">
        <v>76</v>
      </c>
    </row>
    <row r="51" spans="1:1" ht="14.4" x14ac:dyDescent="0.3">
      <c r="A51" s="13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GRAPHIC_SUPPORT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Adelson Nobre</dc:creator>
  <cp:lastModifiedBy>Adelson Nobre</cp:lastModifiedBy>
  <dcterms:created xsi:type="dcterms:W3CDTF">2026-09-23T15:46:10Z</dcterms:created>
  <dcterms:modified xsi:type="dcterms:W3CDTF">2026-09-23T20:38:47Z</dcterms:modified>
</cp:coreProperties>
</file>